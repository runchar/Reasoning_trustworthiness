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file\Trustworthiness\Result\"/>
    </mc:Choice>
  </mc:AlternateContent>
  <xr:revisionPtr revIDLastSave="0" documentId="13_ncr:1_{064D16D2-AA92-495C-BAF0-1BDB6C72FC2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5" i="1" l="1"/>
  <c r="P45" i="1"/>
  <c r="F45" i="1"/>
  <c r="U42" i="1"/>
  <c r="P42" i="1"/>
  <c r="F42" i="1"/>
  <c r="U39" i="1"/>
  <c r="P39" i="1"/>
  <c r="F39" i="1"/>
  <c r="U36" i="1"/>
  <c r="P36" i="1"/>
  <c r="F36" i="1"/>
  <c r="U33" i="1"/>
  <c r="P33" i="1"/>
  <c r="F33" i="1"/>
  <c r="U30" i="1"/>
  <c r="P30" i="1"/>
  <c r="F30" i="1"/>
  <c r="U27" i="1"/>
  <c r="P27" i="1"/>
  <c r="F27" i="1"/>
  <c r="U24" i="1"/>
  <c r="P24" i="1"/>
  <c r="F24" i="1"/>
  <c r="U21" i="1"/>
  <c r="P21" i="1"/>
  <c r="F21" i="1"/>
  <c r="U20" i="1"/>
  <c r="P20" i="1"/>
  <c r="F20" i="1"/>
  <c r="U19" i="1"/>
  <c r="P19" i="1"/>
  <c r="F19" i="1"/>
  <c r="U18" i="1"/>
  <c r="P18" i="1"/>
  <c r="F18" i="1"/>
  <c r="U17" i="1"/>
  <c r="P17" i="1"/>
  <c r="F17" i="1"/>
  <c r="U14" i="1"/>
  <c r="P14" i="1"/>
  <c r="F14" i="1"/>
  <c r="U13" i="1"/>
  <c r="P13" i="1"/>
  <c r="F13" i="1"/>
  <c r="U10" i="1"/>
  <c r="P10" i="1"/>
  <c r="F10" i="1"/>
  <c r="U9" i="1"/>
  <c r="P9" i="1"/>
  <c r="F9" i="1"/>
  <c r="U6" i="1"/>
  <c r="P6" i="1"/>
  <c r="F6" i="1"/>
  <c r="U5" i="1"/>
  <c r="P5" i="1"/>
  <c r="F5" i="1"/>
</calcChain>
</file>

<file path=xl/sharedStrings.xml><?xml version="1.0" encoding="utf-8"?>
<sst xmlns="http://schemas.openxmlformats.org/spreadsheetml/2006/main" count="65" uniqueCount="47">
  <si>
    <t>method</t>
  </si>
  <si>
    <t>model</t>
  </si>
  <si>
    <t>Safety</t>
  </si>
  <si>
    <t>Multilingual</t>
  </si>
  <si>
    <t>Hallucination</t>
  </si>
  <si>
    <t>Harmfulbench</t>
  </si>
  <si>
    <t>Agentharm</t>
  </si>
  <si>
    <t>faith_eval</t>
  </si>
  <si>
    <t>Acc</t>
  </si>
  <si>
    <t>L</t>
  </si>
  <si>
    <t>Scale</t>
  </si>
  <si>
    <t>E</t>
  </si>
  <si>
    <t>l1</t>
  </si>
  <si>
    <t>agentica-org/DeepScaleR-1.5B-Preview(base)</t>
  </si>
  <si>
    <t>l3lab/L1-Qwen-1.5B-Exact</t>
  </si>
  <si>
    <t>l3lab/L1-Qwen-1.5B-Max</t>
  </si>
  <si>
    <t>deepseek-ai/DeepSeek-R1-Distill-Qwen-7B(base)</t>
  </si>
  <si>
    <t>l3lab/L1-Qwen-7B-Exact</t>
  </si>
  <si>
    <t>l3lab/L1-Qwen-7B-Max</t>
  </si>
  <si>
    <t>Qwen/Qwen3-8B(base)</t>
  </si>
  <si>
    <t>l3lab/L1-Qwen3-8B-Exact</t>
  </si>
  <si>
    <t>l3lab/L1-Qwen3-8B-Max</t>
  </si>
  <si>
    <t>merged</t>
  </si>
  <si>
    <t>deepseek-ai/DeepSeek-R1-0528-Qwen3-8B(base)</t>
  </si>
  <si>
    <t>DeepSeek-R1-0528-Qwen3-8B-average-Merged</t>
  </si>
  <si>
    <t>DeepSeek-R1-0528-Qwen3-8B-DARE-TIES-Merged</t>
  </si>
  <si>
    <t>DeepSeek-R1-0528-Qwen3-8B-TA-Merged_v1</t>
  </si>
  <si>
    <t>DeepSeek-R1-0528-Qwen3-8B-TIES-Merged</t>
  </si>
  <si>
    <t>DeepSeek-R1-0528-Qwen3-8B-TIES-origin-Merged</t>
  </si>
  <si>
    <t>O1</t>
  </si>
  <si>
    <t>QwQ-32B(base)</t>
  </si>
  <si>
    <t>QwQ-32B-Pruned</t>
  </si>
  <si>
    <t>BeConcise</t>
  </si>
  <si>
    <t>agentica-org/DeepScaleR-1.5B-Preview</t>
  </si>
  <si>
    <t>DeepSeek-R1-Distill-Qwen-7B</t>
  </si>
  <si>
    <t>Qwen3-8B</t>
  </si>
  <si>
    <t>thinkless</t>
  </si>
  <si>
    <t>deepseek-ai/DeepSeek-R1-Distill-Qwen-1.5B(base)</t>
  </si>
  <si>
    <t>Vinnnf/Thinkless-1.5B-RL-DeepScaleR</t>
  </si>
  <si>
    <t>Tokenskip</t>
  </si>
  <si>
    <t>Qwen/Qwen3-8B_v1</t>
  </si>
  <si>
    <t>verithinker</t>
  </si>
  <si>
    <t>Zigeng/R1-VeriThinker-7B</t>
  </si>
  <si>
    <t>dpo</t>
  </si>
  <si>
    <t>Qwen/Qwen3-8B</t>
  </si>
  <si>
    <t>score</t>
    <phoneticPr fontId="6" type="noConversion"/>
  </si>
  <si>
    <t>deepseek-ai/DeepSeek-R1-0528-Qwen3-8B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</si>
</sst>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0"/>
      <color theme="0" tint="-0.149998474074526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3" xfId="0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1" xfId="0" applyFont="1" applyBorder="1"/>
    <xf numFmtId="0" fontId="7" fillId="3" borderId="1" xfId="0" applyFont="1" applyFill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73"/>
  <sheetViews>
    <sheetView tabSelected="1" zoomScale="55" zoomScaleNormal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58" sqref="J58"/>
    </sheetView>
  </sheetViews>
  <sheetFormatPr defaultColWidth="12.59765625" defaultRowHeight="15.75" customHeight="1" x14ac:dyDescent="0.35"/>
  <cols>
    <col min="1" max="1" width="20.86328125" customWidth="1"/>
    <col min="2" max="2" width="46.3984375" customWidth="1"/>
    <col min="3" max="3" width="19.1328125" customWidth="1"/>
    <col min="4" max="4" width="18.59765625" customWidth="1"/>
    <col min="5" max="5" width="15.3984375" customWidth="1"/>
    <col min="6" max="9" width="12.73046875" customWidth="1"/>
    <col min="10" max="10" width="12.59765625" customWidth="1"/>
    <col min="13" max="13" width="16.59765625" customWidth="1"/>
  </cols>
  <sheetData>
    <row r="1" spans="1:23" ht="13.5" customHeight="1" x14ac:dyDescent="0.35">
      <c r="A1" s="27" t="s">
        <v>0</v>
      </c>
      <c r="B1" s="27" t="s">
        <v>1</v>
      </c>
      <c r="C1" s="24" t="s">
        <v>2</v>
      </c>
      <c r="D1" s="23"/>
      <c r="E1" s="23"/>
      <c r="F1" s="23"/>
      <c r="G1" s="23"/>
      <c r="H1" s="23"/>
      <c r="I1" s="23"/>
      <c r="J1" s="23"/>
      <c r="K1" s="23"/>
      <c r="L1" s="10"/>
      <c r="M1" s="25" t="s">
        <v>3</v>
      </c>
      <c r="N1" s="23"/>
      <c r="O1" s="23"/>
      <c r="P1" s="23"/>
      <c r="R1" s="25" t="s">
        <v>4</v>
      </c>
      <c r="S1" s="23"/>
      <c r="T1" s="23"/>
      <c r="U1" s="23"/>
      <c r="W1" s="12"/>
    </row>
    <row r="2" spans="1:23" ht="13.5" customHeight="1" x14ac:dyDescent="0.35">
      <c r="A2" s="23"/>
      <c r="B2" s="23"/>
      <c r="C2" s="24" t="s">
        <v>5</v>
      </c>
      <c r="D2" s="23"/>
      <c r="E2" s="23"/>
      <c r="F2" s="23"/>
      <c r="H2" s="28" t="s">
        <v>6</v>
      </c>
      <c r="I2" s="23"/>
      <c r="J2" s="23"/>
      <c r="K2" s="23"/>
      <c r="R2" s="25" t="s">
        <v>7</v>
      </c>
      <c r="S2" s="23"/>
      <c r="T2" s="23"/>
      <c r="U2" s="23"/>
    </row>
    <row r="3" spans="1:23" ht="13.5" customHeight="1" x14ac:dyDescent="0.35">
      <c r="A3" s="23"/>
      <c r="B3" s="23"/>
      <c r="C3" s="10" t="s">
        <v>8</v>
      </c>
      <c r="D3" s="10" t="s">
        <v>9</v>
      </c>
      <c r="E3" s="10" t="s">
        <v>10</v>
      </c>
      <c r="F3" s="11" t="s">
        <v>11</v>
      </c>
      <c r="G3" s="11"/>
      <c r="H3" s="12" t="s">
        <v>45</v>
      </c>
      <c r="I3" t="s">
        <v>9</v>
      </c>
      <c r="J3" t="s">
        <v>10</v>
      </c>
      <c r="K3" t="s">
        <v>11</v>
      </c>
      <c r="M3" s="10" t="s">
        <v>8</v>
      </c>
      <c r="N3" s="10" t="s">
        <v>9</v>
      </c>
      <c r="O3" s="10" t="s">
        <v>10</v>
      </c>
      <c r="P3" s="11" t="s">
        <v>11</v>
      </c>
      <c r="R3" s="10" t="s">
        <v>8</v>
      </c>
      <c r="S3" s="10" t="s">
        <v>9</v>
      </c>
      <c r="T3" s="10" t="s">
        <v>10</v>
      </c>
      <c r="U3" s="11" t="s">
        <v>11</v>
      </c>
    </row>
    <row r="4" spans="1:23" ht="13.5" customHeight="1" x14ac:dyDescent="0.35">
      <c r="A4" s="27" t="s">
        <v>12</v>
      </c>
      <c r="B4" s="13" t="s">
        <v>13</v>
      </c>
      <c r="C4" s="4">
        <v>21.5</v>
      </c>
      <c r="D4" s="4">
        <v>654.89</v>
      </c>
      <c r="E4" s="3">
        <v>1.5</v>
      </c>
      <c r="F4" s="5"/>
      <c r="G4" s="5"/>
      <c r="H4" s="2"/>
      <c r="I4" s="2"/>
      <c r="J4" s="3">
        <v>1.5</v>
      </c>
      <c r="K4" s="17"/>
      <c r="M4" s="18">
        <v>26.190476190476101</v>
      </c>
      <c r="N4" s="3">
        <v>862.71333333333303</v>
      </c>
      <c r="O4" s="3">
        <v>1.5</v>
      </c>
      <c r="P4" s="16"/>
      <c r="R4" s="18">
        <v>51</v>
      </c>
      <c r="S4" s="3">
        <v>1125.26</v>
      </c>
      <c r="T4" s="3">
        <v>1.5</v>
      </c>
      <c r="U4" s="3"/>
    </row>
    <row r="5" spans="1:23" ht="13.5" customHeight="1" x14ac:dyDescent="0.35">
      <c r="A5" s="23"/>
      <c r="B5" s="13" t="s">
        <v>14</v>
      </c>
      <c r="C5" s="4">
        <v>20.25</v>
      </c>
      <c r="D5" s="4">
        <v>643.37</v>
      </c>
      <c r="E5" s="3">
        <v>1.5</v>
      </c>
      <c r="F5" s="6">
        <f>C5 / $C$4 * ( 1 + LN( ($D$4 * $E$4) / (D5 * E5) ) )</f>
        <v>0.95857594174650473</v>
      </c>
      <c r="G5" s="6"/>
      <c r="H5" s="2"/>
      <c r="I5" s="2"/>
      <c r="J5" s="3">
        <v>1.5</v>
      </c>
      <c r="K5" s="17"/>
      <c r="M5" s="18">
        <v>25.6666666666666</v>
      </c>
      <c r="N5" s="3">
        <v>1002.51999999999</v>
      </c>
      <c r="O5" s="3">
        <v>1.5</v>
      </c>
      <c r="P5" s="16">
        <f>M5 / $M$4 * ( 1 + LN( ($N$4 * $O$4) / (N5 * O5) ) )</f>
        <v>0.83281414516584618</v>
      </c>
      <c r="R5" s="18">
        <v>34.6</v>
      </c>
      <c r="S5" s="3">
        <v>395.1</v>
      </c>
      <c r="T5" s="3">
        <v>1.5</v>
      </c>
      <c r="U5" s="3">
        <f>R5 / $R$4 * ( 1 + LN( ($S$4 * $T$4) / (S5 * T5) ) )</f>
        <v>1.3884983403216837</v>
      </c>
    </row>
    <row r="6" spans="1:23" ht="13.5" customHeight="1" x14ac:dyDescent="0.35">
      <c r="A6" s="23"/>
      <c r="B6" s="13" t="s">
        <v>15</v>
      </c>
      <c r="C6" s="4">
        <v>20.75</v>
      </c>
      <c r="D6" s="4">
        <v>673.23</v>
      </c>
      <c r="E6" s="3">
        <v>1.5</v>
      </c>
      <c r="F6" s="6">
        <f>C6 / $C$4 * ( 1 + LN( ($D$4 * $E$4) / (D6 * E6) ) )</f>
        <v>0.9384600164390019</v>
      </c>
      <c r="G6" s="6"/>
      <c r="H6" s="2"/>
      <c r="I6" s="2"/>
      <c r="J6" s="3">
        <v>1.5</v>
      </c>
      <c r="K6" s="17"/>
      <c r="M6" s="18">
        <v>28.190476190476101</v>
      </c>
      <c r="N6" s="3">
        <v>914.668571428571</v>
      </c>
      <c r="O6" s="3">
        <v>1.5</v>
      </c>
      <c r="P6" s="16">
        <f>M6 / $M$4 * ( 1 + LN( ($N$4 * $O$4) / (N6 * O6) ) )</f>
        <v>1.0134186214105172</v>
      </c>
      <c r="R6" s="18">
        <v>36.6</v>
      </c>
      <c r="S6" s="3">
        <v>408.71</v>
      </c>
      <c r="T6" s="3">
        <v>1.5</v>
      </c>
      <c r="U6" s="3">
        <f>R6 / $R$4 * ( 1 + LN( ($S$4 * $T$4) / (S6 * T6) ) )</f>
        <v>1.4444538352713372</v>
      </c>
    </row>
    <row r="7" spans="1:23" ht="12.75" customHeight="1" x14ac:dyDescent="0.35">
      <c r="A7" s="23"/>
      <c r="C7" s="2"/>
      <c r="D7" s="2"/>
      <c r="E7" s="3"/>
      <c r="F7" s="2"/>
      <c r="G7" s="2"/>
      <c r="H7" s="2"/>
      <c r="I7" s="2"/>
      <c r="J7" s="3"/>
      <c r="K7" s="17"/>
      <c r="M7" s="18"/>
      <c r="N7" s="3"/>
      <c r="O7" s="3"/>
      <c r="P7" s="16"/>
      <c r="R7" s="18"/>
      <c r="S7" s="3"/>
      <c r="T7" s="3"/>
      <c r="U7" s="3"/>
    </row>
    <row r="8" spans="1:23" ht="13.5" customHeight="1" x14ac:dyDescent="0.35">
      <c r="A8" s="23"/>
      <c r="B8" s="13" t="s">
        <v>16</v>
      </c>
      <c r="C8" s="4">
        <v>30.5</v>
      </c>
      <c r="D8" s="4">
        <v>738.13</v>
      </c>
      <c r="E8" s="3">
        <v>7</v>
      </c>
      <c r="F8" s="5"/>
      <c r="G8" s="5"/>
      <c r="H8" s="2"/>
      <c r="I8" s="2"/>
      <c r="J8" s="3">
        <v>7</v>
      </c>
      <c r="K8" s="17"/>
      <c r="M8" s="18">
        <v>35.476190476190403</v>
      </c>
      <c r="N8" s="3">
        <v>845.98333333333301</v>
      </c>
      <c r="O8" s="3">
        <v>7</v>
      </c>
      <c r="P8" s="16"/>
      <c r="R8" s="18">
        <v>60.2</v>
      </c>
      <c r="S8" s="3">
        <v>372.95</v>
      </c>
      <c r="T8" s="3">
        <v>7</v>
      </c>
      <c r="U8" s="3"/>
    </row>
    <row r="9" spans="1:23" ht="13.5" customHeight="1" x14ac:dyDescent="0.35">
      <c r="A9" s="23"/>
      <c r="B9" s="13" t="s">
        <v>17</v>
      </c>
      <c r="C9" s="4">
        <v>29</v>
      </c>
      <c r="D9" s="4">
        <v>632.63</v>
      </c>
      <c r="E9" s="3">
        <v>7</v>
      </c>
      <c r="F9" s="6">
        <f>C9 / $C$8 * ( 1 + LN( ($D$8 * $E$8) / (D9 * E9) ) )</f>
        <v>1.0974686100105469</v>
      </c>
      <c r="G9" s="6"/>
      <c r="H9" s="2"/>
      <c r="I9" s="2"/>
      <c r="J9" s="3">
        <v>7</v>
      </c>
      <c r="K9" s="17"/>
      <c r="M9" s="18">
        <v>39.6666666666666</v>
      </c>
      <c r="N9" s="3">
        <v>736.66476190476101</v>
      </c>
      <c r="O9" s="3">
        <v>7</v>
      </c>
      <c r="P9" s="16">
        <f>M9 / $M$8 * ( 1 + LN( ($N$8 * $O$8) / (N9 * O9) ) )</f>
        <v>1.2728315346469588</v>
      </c>
      <c r="R9" s="18">
        <v>56.4</v>
      </c>
      <c r="S9" s="3">
        <v>361.75</v>
      </c>
      <c r="T9" s="3">
        <v>7</v>
      </c>
      <c r="U9" s="3">
        <f>R9 / $R$8 * ( 1 + LN( ($S$8 * $T$8) / (S9 * T9) ) )</f>
        <v>0.96544339243475497</v>
      </c>
    </row>
    <row r="10" spans="1:23" ht="13.5" customHeight="1" x14ac:dyDescent="0.35">
      <c r="A10" s="23"/>
      <c r="B10" s="13" t="s">
        <v>18</v>
      </c>
      <c r="C10" s="4">
        <v>28.75</v>
      </c>
      <c r="D10" s="4">
        <v>621.53</v>
      </c>
      <c r="E10" s="3">
        <v>7</v>
      </c>
      <c r="F10" s="6">
        <f>C10 / $C$8 * ( 1 + LN( ($D$8 * $E$8) / (D10 * E10) ) )</f>
        <v>1.1046935638212894</v>
      </c>
      <c r="G10" s="6"/>
      <c r="H10" s="2"/>
      <c r="I10" s="2"/>
      <c r="J10" s="3">
        <v>7</v>
      </c>
      <c r="K10" s="17"/>
      <c r="M10" s="18">
        <v>38.952380952380899</v>
      </c>
      <c r="N10" s="3">
        <v>760.73333333333301</v>
      </c>
      <c r="O10" s="3">
        <v>7</v>
      </c>
      <c r="P10" s="16">
        <f>M10 / $M$8 * ( 1 + LN( ($N$8 * $O$8) / (N10 * O10) ) )</f>
        <v>1.2146111742764696</v>
      </c>
      <c r="R10" s="18">
        <v>58.4</v>
      </c>
      <c r="S10" s="3">
        <v>343</v>
      </c>
      <c r="T10" s="3">
        <v>7</v>
      </c>
      <c r="U10" s="3">
        <f>R10 / $R$8 * ( 1 + LN( ($S$8 * $T$8) / (S10 * T10) ) )</f>
        <v>1.0513105091318533</v>
      </c>
    </row>
    <row r="11" spans="1:23" ht="13.5" customHeight="1" x14ac:dyDescent="0.35">
      <c r="A11" s="23"/>
      <c r="B11" s="13"/>
      <c r="C11" s="7"/>
      <c r="D11" s="7"/>
      <c r="E11" s="3"/>
      <c r="F11" s="5"/>
      <c r="G11" s="5"/>
      <c r="H11" s="2"/>
      <c r="I11" s="2"/>
      <c r="J11" s="3"/>
      <c r="K11" s="17"/>
      <c r="M11" s="18"/>
      <c r="N11" s="3"/>
      <c r="O11" s="3"/>
      <c r="P11" s="16"/>
      <c r="R11" s="18"/>
      <c r="S11" s="3"/>
      <c r="T11" s="3"/>
      <c r="U11" s="3"/>
    </row>
    <row r="12" spans="1:23" ht="13.5" customHeight="1" x14ac:dyDescent="0.35">
      <c r="A12" s="23"/>
      <c r="B12" s="13" t="s">
        <v>19</v>
      </c>
      <c r="C12" s="4">
        <v>68.75</v>
      </c>
      <c r="D12" s="4">
        <v>681.61</v>
      </c>
      <c r="E12" s="3">
        <v>8</v>
      </c>
      <c r="F12" s="5"/>
      <c r="G12" s="5"/>
      <c r="H12" s="2">
        <v>55.537067099567082</v>
      </c>
      <c r="I12" s="2">
        <v>1380.920454545455</v>
      </c>
      <c r="J12" s="3">
        <v>8</v>
      </c>
      <c r="K12" s="17"/>
      <c r="M12" s="18">
        <v>65.904761904761898</v>
      </c>
      <c r="N12" s="3">
        <v>1394.2361904761899</v>
      </c>
      <c r="O12" s="3">
        <v>8</v>
      </c>
      <c r="P12" s="16"/>
      <c r="R12" s="18">
        <v>75.8</v>
      </c>
      <c r="S12" s="3">
        <v>523.11</v>
      </c>
      <c r="T12" s="3">
        <v>8</v>
      </c>
      <c r="U12" s="3"/>
    </row>
    <row r="13" spans="1:23" ht="13.5" customHeight="1" x14ac:dyDescent="0.35">
      <c r="A13" s="23"/>
      <c r="B13" s="13" t="s">
        <v>20</v>
      </c>
      <c r="C13" s="4">
        <v>58.75</v>
      </c>
      <c r="D13" s="4">
        <v>552.78</v>
      </c>
      <c r="E13" s="3">
        <v>8</v>
      </c>
      <c r="F13" s="6">
        <f>C13 / $C$12 * ( 1 + LN( ($D$12 * $E$12) / (D13 * E13) ) )</f>
        <v>1.0335706374135309</v>
      </c>
      <c r="G13" s="6"/>
      <c r="H13" s="2">
        <v>61.674107142857117</v>
      </c>
      <c r="I13" s="2">
        <v>834.40909090909088</v>
      </c>
      <c r="J13" s="3">
        <v>8</v>
      </c>
      <c r="K13" s="17"/>
      <c r="M13" s="18">
        <v>68.238095238095198</v>
      </c>
      <c r="N13" s="3">
        <v>827.82904761904695</v>
      </c>
      <c r="O13" s="3">
        <v>8</v>
      </c>
      <c r="P13" s="16">
        <f>M13 / $M$12 * ( 1 + LN( ($N$12 * $O$12) / (N13 * O13) ) )</f>
        <v>1.5751562317448176</v>
      </c>
      <c r="R13" s="18">
        <v>79</v>
      </c>
      <c r="S13" s="3">
        <v>372.71</v>
      </c>
      <c r="T13" s="3">
        <v>8</v>
      </c>
      <c r="U13" s="3">
        <f>R13 / $R$12 * ( 1 + LN( ($S$12 * $T$12) / (S13 * T13) ) )</f>
        <v>1.3955184596519135</v>
      </c>
    </row>
    <row r="14" spans="1:23" ht="13.5" customHeight="1" x14ac:dyDescent="0.35">
      <c r="A14" s="23"/>
      <c r="B14" s="13" t="s">
        <v>21</v>
      </c>
      <c r="C14" s="4">
        <v>57.999999999999993</v>
      </c>
      <c r="D14" s="4">
        <v>505.45</v>
      </c>
      <c r="E14" s="3">
        <v>8</v>
      </c>
      <c r="F14" s="6">
        <f>C14 / $C$12 * ( 1 + LN( ($D$12 * $E$12) / (D14 * E14) ) )</f>
        <v>1.0958908285061417</v>
      </c>
      <c r="G14" s="6"/>
      <c r="H14" s="2">
        <v>61.349431818181799</v>
      </c>
      <c r="I14" s="2">
        <v>683.875</v>
      </c>
      <c r="J14" s="3">
        <v>8</v>
      </c>
      <c r="K14" s="17"/>
      <c r="M14" s="18">
        <v>67.238095238095198</v>
      </c>
      <c r="N14" s="3">
        <v>766.76619047618999</v>
      </c>
      <c r="O14" s="3">
        <v>8</v>
      </c>
      <c r="P14" s="16">
        <f>M14 / $M$12 * ( 1 + LN( ($N$12 * $O$12) / (N14 * O14) ) )</f>
        <v>1.6302479552417648</v>
      </c>
      <c r="R14" s="18">
        <v>76.2</v>
      </c>
      <c r="S14" s="3">
        <v>326.39</v>
      </c>
      <c r="T14" s="3">
        <v>8</v>
      </c>
      <c r="U14" s="3">
        <f>R14 / $R$12 * ( 1 + LN( ($S$12 * $T$12) / (S14 * T14) ) )</f>
        <v>1.4794650021153377</v>
      </c>
    </row>
    <row r="15" spans="1:23" ht="13.5" customHeight="1" x14ac:dyDescent="0.35">
      <c r="A15" s="10"/>
      <c r="C15" s="2"/>
      <c r="D15" s="2"/>
      <c r="E15" s="3"/>
      <c r="F15" s="3"/>
      <c r="G15" s="3"/>
      <c r="H15" s="2"/>
      <c r="I15" s="2"/>
      <c r="J15" s="3"/>
      <c r="K15" s="17"/>
      <c r="M15" s="18"/>
      <c r="N15" s="3"/>
      <c r="O15" s="3"/>
      <c r="P15" s="16"/>
      <c r="R15" s="18"/>
      <c r="S15" s="3"/>
      <c r="T15" s="3"/>
      <c r="U15" s="3"/>
    </row>
    <row r="16" spans="1:23" ht="13.5" customHeight="1" x14ac:dyDescent="0.35">
      <c r="A16" s="27" t="s">
        <v>22</v>
      </c>
      <c r="B16" s="10" t="s">
        <v>23</v>
      </c>
      <c r="C16" s="1">
        <v>71.5</v>
      </c>
      <c r="D16" s="1">
        <v>1378.22</v>
      </c>
      <c r="E16" s="3">
        <v>8</v>
      </c>
      <c r="F16" s="3"/>
      <c r="G16" s="3"/>
      <c r="H16" s="20"/>
      <c r="I16" s="20"/>
      <c r="J16" s="3">
        <v>8</v>
      </c>
      <c r="K16" s="17"/>
      <c r="M16" s="18">
        <v>40.6666666666666</v>
      </c>
      <c r="N16" s="3">
        <v>886.04714285714203</v>
      </c>
      <c r="O16" s="3">
        <v>8</v>
      </c>
      <c r="P16" s="16"/>
      <c r="R16" s="18">
        <v>68.400000000000006</v>
      </c>
      <c r="S16" s="3">
        <v>397.91</v>
      </c>
      <c r="T16" s="3">
        <v>8</v>
      </c>
      <c r="U16" s="3"/>
    </row>
    <row r="17" spans="1:21" ht="13.5" customHeight="1" x14ac:dyDescent="0.35">
      <c r="A17" s="23"/>
      <c r="B17" s="10" t="s">
        <v>24</v>
      </c>
      <c r="C17" s="1">
        <v>75.25</v>
      </c>
      <c r="D17" s="1">
        <v>224.17</v>
      </c>
      <c r="E17" s="3">
        <v>8</v>
      </c>
      <c r="F17" s="3">
        <f>C17 / $C$16 * ( 1 + LN( ($D$16 * $E$16) / (D17 * E17) ) )</f>
        <v>2.9638432264758325</v>
      </c>
      <c r="G17" s="3"/>
      <c r="H17" s="20"/>
      <c r="I17" s="20"/>
      <c r="J17" s="3">
        <v>8</v>
      </c>
      <c r="K17" s="17"/>
      <c r="M17" s="18">
        <v>40.571428571428498</v>
      </c>
      <c r="N17" s="3">
        <v>682.59761904761797</v>
      </c>
      <c r="O17" s="3">
        <v>8</v>
      </c>
      <c r="P17" s="16">
        <f>M17 / $M$16 * ( 1 + LN( ($N$16 * $O$16) / (N17 * O17) ) )</f>
        <v>1.2579117649106775</v>
      </c>
      <c r="R17" s="18">
        <v>71.400000000000006</v>
      </c>
      <c r="S17" s="3">
        <v>95.17</v>
      </c>
      <c r="T17" s="3">
        <v>8</v>
      </c>
      <c r="U17" s="3">
        <f>R17 / $R$16 * ( 1 + LN( ($S$16 * $T$16) / (S17 * T17) ) )</f>
        <v>2.5371646392463845</v>
      </c>
    </row>
    <row r="18" spans="1:21" ht="13.5" customHeight="1" x14ac:dyDescent="0.35">
      <c r="A18" s="23"/>
      <c r="B18" s="10" t="s">
        <v>25</v>
      </c>
      <c r="C18" s="1">
        <v>64.5</v>
      </c>
      <c r="D18" s="1">
        <v>400.81</v>
      </c>
      <c r="E18" s="3">
        <v>8</v>
      </c>
      <c r="F18" s="3">
        <f>C18 / $C$16 * ( 1 + LN( ($D$16 * $E$16) / (D18 * E18) ) )</f>
        <v>2.0162434701491327</v>
      </c>
      <c r="G18" s="3"/>
      <c r="H18" s="20"/>
      <c r="I18" s="20"/>
      <c r="J18" s="3">
        <v>8</v>
      </c>
      <c r="K18" s="17"/>
      <c r="M18" s="18">
        <v>66.190476190476105</v>
      </c>
      <c r="N18" s="3">
        <v>935.25904761904701</v>
      </c>
      <c r="O18" s="3">
        <v>8</v>
      </c>
      <c r="P18" s="16">
        <f>M18 / $M$16 * ( 1 + LN( ($N$16 * $O$16) / (N18 * O18) ) )</f>
        <v>1.5396554903846209</v>
      </c>
      <c r="R18" s="18">
        <v>74</v>
      </c>
      <c r="S18" s="3">
        <v>304.38</v>
      </c>
      <c r="T18" s="3">
        <v>8</v>
      </c>
      <c r="U18" s="3">
        <f>R18 / $R$16 * ( 1 + LN( ($S$16 * $T$16) / (S18 * T18) ) )</f>
        <v>1.371757612437593</v>
      </c>
    </row>
    <row r="19" spans="1:21" ht="13.5" customHeight="1" x14ac:dyDescent="0.35">
      <c r="A19" s="23"/>
      <c r="B19" s="10" t="s">
        <v>26</v>
      </c>
      <c r="C19" s="1">
        <v>75.25</v>
      </c>
      <c r="D19" s="1">
        <v>438.03</v>
      </c>
      <c r="E19" s="3">
        <v>8</v>
      </c>
      <c r="F19" s="3">
        <f>C19 / $C$16 * ( 1 + LN( ($D$16 * $E$16) / (D19 * E19) ) )</f>
        <v>2.2588268093872688</v>
      </c>
      <c r="G19" s="3"/>
      <c r="H19" s="20"/>
      <c r="I19" s="20"/>
      <c r="J19" s="3">
        <v>8</v>
      </c>
      <c r="K19" s="17"/>
      <c r="M19" s="18">
        <v>35.142857142857103</v>
      </c>
      <c r="N19" s="3">
        <v>616.65238095238101</v>
      </c>
      <c r="O19" s="3">
        <v>8</v>
      </c>
      <c r="P19" s="16">
        <f>M19 / $M$16 * ( 1 + LN( ($N$16 * $O$16) / (N19 * O19) ) )</f>
        <v>1.1773992326730029</v>
      </c>
      <c r="R19" s="18">
        <v>67.2</v>
      </c>
      <c r="S19" s="3">
        <v>165.86</v>
      </c>
      <c r="T19" s="3">
        <v>8</v>
      </c>
      <c r="U19" s="3">
        <f>R19 / $R$16 * ( 1 + LN( ($S$16 * $T$16) / (S19 * T19) ) )</f>
        <v>1.8421856182816922</v>
      </c>
    </row>
    <row r="20" spans="1:21" ht="13.5" customHeight="1" x14ac:dyDescent="0.35">
      <c r="A20" s="23"/>
      <c r="B20" s="10" t="s">
        <v>27</v>
      </c>
      <c r="C20" s="1">
        <v>64</v>
      </c>
      <c r="D20" s="1">
        <v>439.32</v>
      </c>
      <c r="E20" s="3">
        <v>8</v>
      </c>
      <c r="F20" s="3">
        <f>C20 / $C$16 * ( 1 + LN( ($D$16 * $E$16) / (D20 * E20) ) )</f>
        <v>1.9184962359313662</v>
      </c>
      <c r="G20" s="3"/>
      <c r="H20" s="20"/>
      <c r="I20" s="20"/>
      <c r="J20" s="3">
        <v>8</v>
      </c>
      <c r="K20" s="17"/>
      <c r="M20" s="18">
        <v>66.095238095238102</v>
      </c>
      <c r="N20" s="3">
        <v>991.77523809523802</v>
      </c>
      <c r="O20" s="3">
        <v>8</v>
      </c>
      <c r="P20" s="16">
        <f>M20 / $M$16 * ( 1 + LN( ($N$16 * $O$16) / (N20 * O20) ) )</f>
        <v>1.4420794229495837</v>
      </c>
      <c r="R20" s="18">
        <v>73.8</v>
      </c>
      <c r="S20" s="3">
        <v>325.89999999999998</v>
      </c>
      <c r="T20" s="3">
        <v>8</v>
      </c>
      <c r="U20" s="3">
        <f>R20 / $R$16 * ( 1 + LN( ($S$16 * $T$16) / (S20 * T20) ) )</f>
        <v>1.294343310312285</v>
      </c>
    </row>
    <row r="21" spans="1:21" ht="13.5" customHeight="1" x14ac:dyDescent="0.35">
      <c r="A21" s="23"/>
      <c r="B21" s="10" t="s">
        <v>28</v>
      </c>
      <c r="C21" s="1">
        <v>62</v>
      </c>
      <c r="D21" s="1">
        <v>442.38</v>
      </c>
      <c r="E21" s="3">
        <v>8</v>
      </c>
      <c r="F21" s="3">
        <f>C21 / $C$16 * ( 1 + LN( ($D$16 * $E$16) / (D21 * E21) ) )</f>
        <v>1.8525243168496004</v>
      </c>
      <c r="G21" s="3"/>
      <c r="H21" s="20"/>
      <c r="I21" s="20"/>
      <c r="J21" s="3">
        <v>8</v>
      </c>
      <c r="K21" s="17"/>
      <c r="M21" s="18">
        <v>66.3333333333333</v>
      </c>
      <c r="N21" s="3">
        <v>996.37095238095196</v>
      </c>
      <c r="O21" s="3">
        <v>8</v>
      </c>
      <c r="P21" s="16">
        <f>M21 / $M$16 * ( 1 + LN( ($N$16 * $O$16) / (N21 * O21) ) )</f>
        <v>1.4397332373769707</v>
      </c>
      <c r="R21" s="18">
        <v>75</v>
      </c>
      <c r="S21" s="3">
        <v>320</v>
      </c>
      <c r="T21" s="3">
        <v>8</v>
      </c>
      <c r="U21" s="3">
        <f>R21 / $R$16 * ( 1 + LN( ($S$16 * $T$16) / (S21 * T21) ) )</f>
        <v>1.3354219882302718</v>
      </c>
    </row>
    <row r="22" spans="1:21" ht="13.5" customHeight="1" x14ac:dyDescent="0.35">
      <c r="A22" s="10"/>
      <c r="C22" s="4"/>
      <c r="D22" s="4"/>
      <c r="E22" s="3"/>
      <c r="F22" s="3"/>
      <c r="G22" s="3"/>
      <c r="H22" s="2"/>
      <c r="I22" s="2"/>
      <c r="J22" s="3"/>
      <c r="K22" s="17"/>
      <c r="O22" s="3"/>
      <c r="P22" s="16"/>
      <c r="T22" s="3"/>
      <c r="U22" s="3"/>
    </row>
    <row r="23" spans="1:21" ht="14.65" customHeight="1" x14ac:dyDescent="0.35">
      <c r="A23" s="27" t="s">
        <v>29</v>
      </c>
      <c r="B23" s="13" t="s">
        <v>30</v>
      </c>
      <c r="C23" s="4">
        <v>64.25</v>
      </c>
      <c r="D23" s="4">
        <v>1718.28</v>
      </c>
      <c r="E23" s="18">
        <v>32</v>
      </c>
      <c r="F23" s="3"/>
      <c r="G23" s="3"/>
      <c r="H23" s="2"/>
      <c r="I23" s="2"/>
      <c r="J23" s="18">
        <v>32</v>
      </c>
      <c r="K23" s="17"/>
      <c r="M23" s="18">
        <v>61.333333330000002</v>
      </c>
      <c r="N23" s="18">
        <v>1014.8446139180101</v>
      </c>
      <c r="O23" s="18">
        <v>32</v>
      </c>
      <c r="P23" s="19"/>
      <c r="Q23" s="11"/>
      <c r="R23" s="18">
        <v>67.400000000000006</v>
      </c>
      <c r="S23" s="18">
        <v>497.01</v>
      </c>
      <c r="T23" s="3">
        <v>32</v>
      </c>
      <c r="U23" s="3"/>
    </row>
    <row r="24" spans="1:21" ht="13.5" customHeight="1" x14ac:dyDescent="0.35">
      <c r="A24" s="23"/>
      <c r="B24" s="13" t="s">
        <v>31</v>
      </c>
      <c r="C24" s="4">
        <v>54.25</v>
      </c>
      <c r="D24" s="4">
        <v>847.24</v>
      </c>
      <c r="E24" s="18">
        <v>32</v>
      </c>
      <c r="F24" s="3">
        <f>C24 / $C$23 * ( 1 + LN( ($D$23 * $E$23) / (D24 * E24) ) )</f>
        <v>1.4413993324620291</v>
      </c>
      <c r="G24" s="3"/>
      <c r="H24" s="20"/>
      <c r="I24" s="20"/>
      <c r="J24" s="18">
        <v>32</v>
      </c>
      <c r="K24" s="17"/>
      <c r="M24" s="18">
        <v>69.047619047618994</v>
      </c>
      <c r="N24" s="18">
        <v>1255.8260247855101</v>
      </c>
      <c r="O24" s="18">
        <v>32</v>
      </c>
      <c r="P24" s="19">
        <f>M24 / $M$23 * ( 1 + LN( ($N$23 * $O$23) / (N24 * O24) ) )</f>
        <v>0.88592069370711324</v>
      </c>
      <c r="Q24" s="11"/>
      <c r="R24" s="18">
        <v>73</v>
      </c>
      <c r="S24" s="18">
        <v>383.09</v>
      </c>
      <c r="T24" s="3">
        <v>32</v>
      </c>
      <c r="U24" s="3">
        <f>R24 / $R$23 * ( 1 + LN( ($S$23 * $T$23) / (S24 * T24) ) )</f>
        <v>1.3650568911148795</v>
      </c>
    </row>
    <row r="25" spans="1:21" ht="13.5" customHeight="1" x14ac:dyDescent="0.35">
      <c r="A25" s="9"/>
      <c r="B25" s="13"/>
      <c r="C25" s="4"/>
      <c r="D25" s="4"/>
      <c r="E25" s="3"/>
      <c r="F25" s="3"/>
      <c r="G25" s="3"/>
      <c r="H25" s="2"/>
      <c r="I25" s="2"/>
      <c r="J25" s="3"/>
      <c r="K25" s="17"/>
      <c r="M25" s="18"/>
      <c r="N25" s="3"/>
      <c r="O25" s="3"/>
      <c r="P25" s="16"/>
      <c r="R25" s="18"/>
      <c r="S25" s="3"/>
      <c r="T25" s="3"/>
      <c r="U25" s="3"/>
    </row>
    <row r="26" spans="1:21" ht="13.5" customHeight="1" x14ac:dyDescent="0.35">
      <c r="A26" s="27" t="s">
        <v>32</v>
      </c>
      <c r="B26" s="13" t="s">
        <v>13</v>
      </c>
      <c r="C26" s="4">
        <v>21.5</v>
      </c>
      <c r="D26" s="4">
        <v>654.89</v>
      </c>
      <c r="E26" s="3">
        <v>1.5</v>
      </c>
      <c r="F26" s="3"/>
      <c r="G26" s="3"/>
      <c r="H26" s="2"/>
      <c r="I26" s="2"/>
      <c r="J26" s="3">
        <v>1.5</v>
      </c>
      <c r="K26" s="17"/>
      <c r="M26" s="18">
        <v>26.190476190476101</v>
      </c>
      <c r="N26" s="3">
        <v>862.71333333333303</v>
      </c>
      <c r="O26" s="3">
        <v>1.5</v>
      </c>
      <c r="P26" s="16"/>
      <c r="R26" s="18">
        <v>51</v>
      </c>
      <c r="S26" s="3">
        <v>1125.26</v>
      </c>
      <c r="T26" s="3">
        <v>1.5</v>
      </c>
      <c r="U26" s="3"/>
    </row>
    <row r="27" spans="1:21" ht="13.5" customHeight="1" x14ac:dyDescent="0.35">
      <c r="A27" s="23"/>
      <c r="B27" s="13" t="s">
        <v>33</v>
      </c>
      <c r="C27" s="4">
        <v>21.5</v>
      </c>
      <c r="D27" s="4">
        <v>1160.8800000000001</v>
      </c>
      <c r="E27" s="3">
        <v>1.5</v>
      </c>
      <c r="F27" s="3">
        <f>C27 / $C$26 * ( 1 + LN( ($D$26 * $E$26) / (D27 * E27) ) )</f>
        <v>0.42753366541779536</v>
      </c>
      <c r="G27" s="3"/>
      <c r="H27" s="2"/>
      <c r="I27" s="2"/>
      <c r="J27" s="3">
        <v>1.5</v>
      </c>
      <c r="K27" s="17"/>
      <c r="M27" s="18">
        <v>23.714285714285701</v>
      </c>
      <c r="N27" s="3">
        <v>711.13428571428506</v>
      </c>
      <c r="O27" s="3">
        <v>1.5</v>
      </c>
      <c r="P27" s="16">
        <f>M27 / $M$26 * ( 1 + LN( ($N$26 * $O$26) / (N27 * O27) ) )</f>
        <v>1.0804075416618295</v>
      </c>
      <c r="R27" s="18">
        <v>48.8</v>
      </c>
      <c r="S27" s="3">
        <v>1032.4100000000001</v>
      </c>
      <c r="T27" s="3">
        <v>1.5</v>
      </c>
      <c r="U27" s="3">
        <f>R27 / $R$26 * ( 1 + LN( ($S$26 * $T$26) / (S27 * T27) ) )</f>
        <v>1.0392660854901055</v>
      </c>
    </row>
    <row r="28" spans="1:21" ht="13.5" customHeight="1" x14ac:dyDescent="0.35">
      <c r="A28" s="23"/>
      <c r="B28" s="13"/>
      <c r="C28" s="4"/>
      <c r="D28" s="4"/>
      <c r="E28" s="3"/>
      <c r="F28" s="3"/>
      <c r="G28" s="3"/>
      <c r="H28" s="2"/>
      <c r="I28" s="2"/>
      <c r="J28" s="3"/>
      <c r="K28" s="17"/>
      <c r="M28" s="18"/>
      <c r="N28" s="3"/>
      <c r="O28" s="3"/>
      <c r="P28" s="16"/>
      <c r="R28" s="18"/>
      <c r="S28" s="3"/>
      <c r="T28" s="3"/>
      <c r="U28" s="3"/>
    </row>
    <row r="29" spans="1:21" ht="13.5" customHeight="1" x14ac:dyDescent="0.35">
      <c r="A29" s="23"/>
      <c r="B29" s="13" t="s">
        <v>16</v>
      </c>
      <c r="C29" s="4">
        <v>30.5</v>
      </c>
      <c r="D29" s="4">
        <v>738.13</v>
      </c>
      <c r="E29" s="3">
        <v>7</v>
      </c>
      <c r="F29" s="3"/>
      <c r="G29" s="3"/>
      <c r="H29" s="2"/>
      <c r="I29" s="2"/>
      <c r="J29" s="3">
        <v>7</v>
      </c>
      <c r="K29" s="17"/>
      <c r="M29" s="18">
        <v>35.476190476190403</v>
      </c>
      <c r="N29" s="3">
        <v>845.98333333333301</v>
      </c>
      <c r="O29" s="3">
        <v>7</v>
      </c>
      <c r="P29" s="16"/>
      <c r="R29" s="18">
        <v>60.2</v>
      </c>
      <c r="S29" s="3">
        <v>372.95</v>
      </c>
      <c r="T29" s="3">
        <v>7</v>
      </c>
      <c r="U29" s="3"/>
    </row>
    <row r="30" spans="1:21" ht="13.5" customHeight="1" x14ac:dyDescent="0.35">
      <c r="A30" s="23"/>
      <c r="B30" s="13" t="s">
        <v>34</v>
      </c>
      <c r="C30" s="4">
        <v>31</v>
      </c>
      <c r="D30" s="4">
        <v>1035.28</v>
      </c>
      <c r="E30" s="3">
        <v>7</v>
      </c>
      <c r="F30" s="3">
        <f>C30 / $C$29 * ( 1 + LN( ($D$29 * $E$29) / (D30 * E30) ) )</f>
        <v>0.67254018263626059</v>
      </c>
      <c r="G30" s="3"/>
      <c r="H30" s="2"/>
      <c r="I30" s="2"/>
      <c r="J30" s="3">
        <v>7</v>
      </c>
      <c r="K30" s="17"/>
      <c r="M30" s="18">
        <v>30.571428571428498</v>
      </c>
      <c r="N30" s="3">
        <v>618.56761904761902</v>
      </c>
      <c r="O30" s="3">
        <v>7</v>
      </c>
      <c r="P30" s="16">
        <f>M30 / $M$29 * ( 1 + LN( ($N$29 * $O$29) / (N30 * O30) ) )</f>
        <v>1.1315514086241694</v>
      </c>
      <c r="R30" s="18">
        <v>60.4</v>
      </c>
      <c r="S30" s="3">
        <v>355.04</v>
      </c>
      <c r="T30" s="3">
        <v>7</v>
      </c>
      <c r="U30" s="3">
        <f>R30 / $R$29 * ( 1 + LN( ($S$29 * $T$29) / (S30 * T30) ) )</f>
        <v>1.052699663692692</v>
      </c>
    </row>
    <row r="31" spans="1:21" ht="13.5" customHeight="1" x14ac:dyDescent="0.35">
      <c r="A31" s="23"/>
      <c r="B31" s="13"/>
      <c r="C31" s="4"/>
      <c r="D31" s="4"/>
      <c r="E31" s="3"/>
      <c r="F31" s="3"/>
      <c r="G31" s="3"/>
      <c r="H31" s="2"/>
      <c r="I31" s="2"/>
      <c r="J31" s="3"/>
      <c r="K31" s="17"/>
      <c r="M31" s="18"/>
      <c r="N31" s="3"/>
      <c r="O31" s="3"/>
      <c r="P31" s="16"/>
      <c r="R31" s="18"/>
      <c r="S31" s="3"/>
      <c r="T31" s="3"/>
      <c r="U31" s="3"/>
    </row>
    <row r="32" spans="1:21" ht="13.5" customHeight="1" x14ac:dyDescent="0.35">
      <c r="A32" s="23"/>
      <c r="B32" s="13" t="s">
        <v>19</v>
      </c>
      <c r="C32" s="4">
        <v>68.75</v>
      </c>
      <c r="D32" s="4">
        <v>681.61</v>
      </c>
      <c r="E32" s="3">
        <v>8</v>
      </c>
      <c r="F32" s="3"/>
      <c r="G32" s="3"/>
      <c r="H32" s="2">
        <v>55.537067099567082</v>
      </c>
      <c r="I32" s="2">
        <v>1380.920454545455</v>
      </c>
      <c r="J32" s="3">
        <v>8</v>
      </c>
      <c r="K32" s="17"/>
      <c r="M32" s="18">
        <v>65.904761904761898</v>
      </c>
      <c r="N32" s="3">
        <v>1394.2361904761899</v>
      </c>
      <c r="O32" s="3">
        <v>8</v>
      </c>
      <c r="P32" s="16"/>
      <c r="R32" s="18">
        <v>75.8</v>
      </c>
      <c r="S32" s="3">
        <v>523.11</v>
      </c>
      <c r="T32" s="3">
        <v>8</v>
      </c>
      <c r="U32" s="3"/>
    </row>
    <row r="33" spans="1:22" ht="13.5" customHeight="1" x14ac:dyDescent="0.35">
      <c r="A33" s="23"/>
      <c r="B33" s="13" t="s">
        <v>35</v>
      </c>
      <c r="C33" s="4">
        <v>63</v>
      </c>
      <c r="D33" s="4">
        <v>880.49</v>
      </c>
      <c r="E33" s="3">
        <v>8</v>
      </c>
      <c r="F33" s="3">
        <f>C33 / $C$32 * ( 1 + LN( ($D$32 * $E$32) / (D33 * E33) ) )</f>
        <v>0.68175537153571009</v>
      </c>
      <c r="G33" s="3"/>
      <c r="H33" s="2">
        <v>52.000811688311678</v>
      </c>
      <c r="I33" s="2">
        <v>1079.852272727273</v>
      </c>
      <c r="J33" s="3">
        <v>8</v>
      </c>
      <c r="K33" s="17"/>
      <c r="M33" s="18">
        <v>69.047619047618994</v>
      </c>
      <c r="N33" s="3">
        <v>1258.5709523809501</v>
      </c>
      <c r="O33" s="3">
        <v>8</v>
      </c>
      <c r="P33" s="16">
        <f>M33 / $M$32 * ( 1 + LN( ($N$32 * $O$32) / (N33 * O33) ) )</f>
        <v>1.1549394780807036</v>
      </c>
      <c r="R33" s="18">
        <v>73.400000000000006</v>
      </c>
      <c r="S33" s="3">
        <v>518</v>
      </c>
      <c r="T33" s="3">
        <v>8</v>
      </c>
      <c r="U33" s="3">
        <f>R33 / $R$32 * ( 1 + LN( ($S$32 * $T$32) / (S33 * T33) ) )</f>
        <v>0.97784344216057184</v>
      </c>
    </row>
    <row r="34" spans="1:22" ht="15.4" customHeight="1" x14ac:dyDescent="0.35">
      <c r="A34" s="9"/>
      <c r="B34" s="13"/>
      <c r="C34" s="1"/>
      <c r="D34" s="1"/>
      <c r="E34" s="3"/>
      <c r="F34" s="3"/>
      <c r="G34" s="3"/>
      <c r="H34" s="2"/>
      <c r="I34" s="2"/>
      <c r="J34" s="3"/>
      <c r="K34" s="17"/>
      <c r="M34" s="18"/>
      <c r="N34" s="3"/>
      <c r="O34" s="3"/>
      <c r="P34" s="16"/>
      <c r="R34" s="18"/>
      <c r="S34" s="3"/>
      <c r="T34" s="3"/>
      <c r="U34" s="3"/>
    </row>
    <row r="35" spans="1:22" ht="13.5" customHeight="1" x14ac:dyDescent="0.35">
      <c r="A35" s="29" t="s">
        <v>36</v>
      </c>
      <c r="B35" s="13" t="s">
        <v>37</v>
      </c>
      <c r="C35" s="1">
        <v>18.25</v>
      </c>
      <c r="D35" s="1">
        <v>551.86</v>
      </c>
      <c r="E35" s="3">
        <v>1.5</v>
      </c>
      <c r="F35" s="5"/>
      <c r="G35" s="5"/>
      <c r="H35" s="2"/>
      <c r="I35" s="2"/>
      <c r="J35" s="3">
        <v>1.5</v>
      </c>
      <c r="K35" s="17"/>
      <c r="M35" s="18">
        <v>20.571428571428498</v>
      </c>
      <c r="N35" s="3">
        <v>472.727446300716</v>
      </c>
      <c r="O35" s="3">
        <v>1.5</v>
      </c>
      <c r="P35" s="16"/>
      <c r="R35" s="18">
        <v>53.2</v>
      </c>
      <c r="S35" s="3">
        <v>486.79</v>
      </c>
      <c r="T35" s="3">
        <v>1.5</v>
      </c>
      <c r="U35" s="3"/>
    </row>
    <row r="36" spans="1:22" ht="15.75" customHeight="1" x14ac:dyDescent="0.35">
      <c r="A36" s="23"/>
      <c r="B36" s="13" t="s">
        <v>38</v>
      </c>
      <c r="C36" s="1">
        <v>15.25</v>
      </c>
      <c r="D36" s="1">
        <v>769.09</v>
      </c>
      <c r="E36" s="3">
        <v>1.5</v>
      </c>
      <c r="F36" s="3">
        <f>C36 / $C$35 * ( 1 + LN( ($D$35 * $E$35) / (D36 * E36) ) )</f>
        <v>0.55826397236054781</v>
      </c>
      <c r="G36" s="3"/>
      <c r="H36" s="2"/>
      <c r="I36" s="2"/>
      <c r="J36" s="3">
        <v>1.5</v>
      </c>
      <c r="K36" s="17"/>
      <c r="M36" s="18">
        <v>19.8095238095238</v>
      </c>
      <c r="N36" s="3">
        <v>920.16730401529605</v>
      </c>
      <c r="O36" s="3">
        <v>1.5</v>
      </c>
      <c r="P36" s="16">
        <f>M36 / $M$35 * ( 1 + LN( ($N$35 * $O$35) / (N36 * O36) ) )</f>
        <v>0.3215944749768142</v>
      </c>
      <c r="R36" s="18">
        <v>36.4</v>
      </c>
      <c r="S36" s="3">
        <v>690.9</v>
      </c>
      <c r="T36" s="3">
        <v>1.5</v>
      </c>
      <c r="U36" s="3">
        <f>R36 / $R$35 * ( 1 + LN( ($S$35 * $T$35) / (S36 * T36) ) )</f>
        <v>0.44462581053557326</v>
      </c>
    </row>
    <row r="37" spans="1:22" ht="13.5" customHeight="1" x14ac:dyDescent="0.35">
      <c r="A37" s="15"/>
      <c r="B37" s="13"/>
      <c r="C37" s="1"/>
      <c r="D37" s="1"/>
      <c r="E37" s="3"/>
      <c r="F37" s="3"/>
      <c r="G37" s="3"/>
      <c r="H37" s="2"/>
      <c r="I37" s="2"/>
      <c r="J37" s="3"/>
      <c r="K37" s="17"/>
      <c r="M37" s="18"/>
      <c r="N37" s="3"/>
      <c r="O37" s="3"/>
      <c r="P37" s="16"/>
      <c r="R37" s="18"/>
      <c r="S37" s="3"/>
      <c r="T37" s="3"/>
      <c r="U37" s="3"/>
    </row>
    <row r="38" spans="1:22" ht="13.5" customHeight="1" x14ac:dyDescent="0.35">
      <c r="A38" s="26" t="s">
        <v>39</v>
      </c>
      <c r="B38" s="13" t="s">
        <v>19</v>
      </c>
      <c r="C38" s="4">
        <v>68.75</v>
      </c>
      <c r="D38" s="4">
        <v>681.61</v>
      </c>
      <c r="E38" s="3">
        <v>8</v>
      </c>
      <c r="F38" s="2"/>
      <c r="G38" s="2"/>
      <c r="H38" s="2">
        <v>55.537067099567082</v>
      </c>
      <c r="I38" s="2">
        <v>1380.920454545455</v>
      </c>
      <c r="J38" s="3">
        <v>8</v>
      </c>
      <c r="K38" s="17"/>
      <c r="M38" s="18">
        <v>65.904761904761898</v>
      </c>
      <c r="N38" s="3">
        <v>1394.2361904761899</v>
      </c>
      <c r="O38" s="3">
        <v>8</v>
      </c>
      <c r="P38" s="16"/>
      <c r="R38" s="18">
        <v>75.8</v>
      </c>
      <c r="S38" s="3">
        <v>523.11</v>
      </c>
      <c r="T38" s="3">
        <v>8</v>
      </c>
      <c r="U38" s="3"/>
      <c r="V38" s="11"/>
    </row>
    <row r="39" spans="1:22" ht="13.5" customHeight="1" x14ac:dyDescent="0.35">
      <c r="A39" s="23"/>
      <c r="B39" s="13" t="s">
        <v>40</v>
      </c>
      <c r="C39" s="1">
        <v>65.25</v>
      </c>
      <c r="D39" s="1">
        <v>499.69</v>
      </c>
      <c r="E39" s="3">
        <v>8</v>
      </c>
      <c r="F39" s="8">
        <f>C39 / $C$38 * ( 1 + LN( ($D$38 * $E$38) / (D39 * E39) ) )</f>
        <v>1.2437549174671172</v>
      </c>
      <c r="G39" s="8"/>
      <c r="H39" s="2">
        <v>54.293154761904717</v>
      </c>
      <c r="I39" s="21">
        <v>426.921875</v>
      </c>
      <c r="J39" s="3">
        <v>8</v>
      </c>
      <c r="K39" s="17"/>
      <c r="M39" s="18">
        <v>60.285714285714199</v>
      </c>
      <c r="N39" s="3">
        <v>1139.38857142857</v>
      </c>
      <c r="O39" s="3">
        <v>8</v>
      </c>
      <c r="P39" s="16">
        <f>M39 / $M$38 * ( 1 + LN( ($N$38 * $O$38) / (N39 * O39) ) )</f>
        <v>1.099384661625326</v>
      </c>
      <c r="R39" s="18">
        <v>75</v>
      </c>
      <c r="S39" s="3">
        <v>427.87</v>
      </c>
      <c r="T39" s="3">
        <v>8</v>
      </c>
      <c r="U39" s="3">
        <f>R39 / $R$38 * ( 1 + LN( ($S$38 * $T$38) / (S39 * T39) ) )</f>
        <v>1.1882971858884874</v>
      </c>
    </row>
    <row r="40" spans="1:22" ht="13.5" customHeight="1" x14ac:dyDescent="0.35">
      <c r="A40" s="14"/>
      <c r="B40" s="13"/>
      <c r="C40" s="2"/>
      <c r="D40" s="2"/>
      <c r="E40" s="3"/>
      <c r="F40" s="2"/>
      <c r="G40" s="2"/>
      <c r="H40" s="2"/>
      <c r="I40" s="2"/>
      <c r="J40" s="3"/>
      <c r="K40" s="17"/>
      <c r="M40" s="18"/>
      <c r="N40" s="3"/>
      <c r="O40" s="3"/>
      <c r="P40" s="16"/>
      <c r="R40" s="18"/>
      <c r="S40" s="3"/>
      <c r="T40" s="3"/>
      <c r="U40" s="3"/>
    </row>
    <row r="41" spans="1:22" ht="13.5" customHeight="1" x14ac:dyDescent="0.35">
      <c r="A41" s="22" t="s">
        <v>41</v>
      </c>
      <c r="B41" s="13" t="s">
        <v>16</v>
      </c>
      <c r="C41" s="4">
        <v>30.5</v>
      </c>
      <c r="D41" s="4">
        <v>738.13</v>
      </c>
      <c r="E41" s="3">
        <v>7</v>
      </c>
      <c r="F41" s="2"/>
      <c r="G41" s="2"/>
      <c r="H41" s="2"/>
      <c r="I41" s="2"/>
      <c r="J41" s="3">
        <v>7</v>
      </c>
      <c r="K41" s="17"/>
      <c r="M41" s="18">
        <v>35.476190476190403</v>
      </c>
      <c r="N41" s="3">
        <v>845.98333333333301</v>
      </c>
      <c r="O41" s="3">
        <v>7</v>
      </c>
      <c r="P41" s="16"/>
      <c r="R41" s="18">
        <v>60.2</v>
      </c>
      <c r="S41" s="3">
        <v>372.95</v>
      </c>
      <c r="T41" s="3">
        <v>7</v>
      </c>
      <c r="U41" s="3"/>
    </row>
    <row r="42" spans="1:22" ht="13.5" customHeight="1" x14ac:dyDescent="0.35">
      <c r="A42" s="23"/>
      <c r="B42" s="13" t="s">
        <v>42</v>
      </c>
      <c r="C42" s="4">
        <v>29.5</v>
      </c>
      <c r="D42" s="4">
        <v>632.98</v>
      </c>
      <c r="E42" s="3">
        <v>7</v>
      </c>
      <c r="F42" s="3">
        <f>C42 / $C$41 * ( 1 + LN( ($D$41 * $E$41) / (D42 * E42) ) )</f>
        <v>1.115855523804268</v>
      </c>
      <c r="G42" s="3"/>
      <c r="H42" s="2"/>
      <c r="I42" s="2"/>
      <c r="J42" s="3">
        <v>7</v>
      </c>
      <c r="K42" s="17"/>
      <c r="M42" s="18">
        <v>25.285714285714199</v>
      </c>
      <c r="N42" s="3">
        <v>520.37</v>
      </c>
      <c r="O42" s="3">
        <v>7</v>
      </c>
      <c r="P42" s="16">
        <f>M42 / $M$41 * ( 1 + LN( ($N$41 * $O$41) / (N42 * O42) ) )</f>
        <v>1.0591201709271976</v>
      </c>
      <c r="R42" s="18">
        <v>62.8</v>
      </c>
      <c r="S42" s="3">
        <v>483.54</v>
      </c>
      <c r="T42" s="3">
        <v>7</v>
      </c>
      <c r="U42" s="3">
        <f>R42 / $R$41 * ( 1 + LN( ($S$41 * $T$41) / (S42 * T42) ) )</f>
        <v>0.77228385628811602</v>
      </c>
    </row>
    <row r="43" spans="1:22" ht="13.5" customHeight="1" x14ac:dyDescent="0.35">
      <c r="A43" s="14"/>
      <c r="B43" s="13"/>
      <c r="C43" s="2"/>
      <c r="D43" s="2"/>
      <c r="E43" s="3"/>
      <c r="F43" s="2"/>
      <c r="G43" s="2"/>
      <c r="H43" s="2"/>
      <c r="I43" s="2"/>
      <c r="J43" s="3"/>
      <c r="K43" s="17"/>
      <c r="M43" s="18"/>
      <c r="N43" s="3"/>
      <c r="O43" s="3"/>
      <c r="P43" s="16"/>
      <c r="R43" s="18"/>
      <c r="S43" s="3"/>
      <c r="T43" s="3"/>
      <c r="U43" s="3"/>
    </row>
    <row r="44" spans="1:22" ht="13.5" customHeight="1" x14ac:dyDescent="0.35">
      <c r="A44" s="26" t="s">
        <v>43</v>
      </c>
      <c r="B44" s="13" t="s">
        <v>19</v>
      </c>
      <c r="C44" s="4">
        <v>68.75</v>
      </c>
      <c r="D44" s="4">
        <v>681.61</v>
      </c>
      <c r="E44" s="3">
        <v>8</v>
      </c>
      <c r="F44" s="3"/>
      <c r="G44" s="3"/>
      <c r="H44" s="2">
        <v>55.537067099567082</v>
      </c>
      <c r="I44" s="2">
        <v>1380.920454545455</v>
      </c>
      <c r="J44" s="3">
        <v>8</v>
      </c>
      <c r="K44" s="17"/>
      <c r="M44" s="18">
        <v>65.904761904761898</v>
      </c>
      <c r="N44" s="3">
        <v>1394.2361904761899</v>
      </c>
      <c r="O44" s="3">
        <v>8</v>
      </c>
      <c r="P44" s="16"/>
      <c r="R44" s="18">
        <v>75.8</v>
      </c>
      <c r="S44" s="3">
        <v>523.11</v>
      </c>
      <c r="T44" s="3">
        <v>8</v>
      </c>
      <c r="U44" s="3"/>
    </row>
    <row r="45" spans="1:22" ht="13.5" customHeight="1" x14ac:dyDescent="0.35">
      <c r="A45" s="26"/>
      <c r="B45" s="13" t="s">
        <v>44</v>
      </c>
      <c r="C45" s="3">
        <v>65</v>
      </c>
      <c r="D45" s="3">
        <v>648.01</v>
      </c>
      <c r="E45" s="3">
        <v>8</v>
      </c>
      <c r="F45" s="2">
        <f>C45 / $C$44 * ( 1 + LN( ($D$44 * $E$44) / (D45 * E45) ) )</f>
        <v>0.99324870834045398</v>
      </c>
      <c r="G45" s="2"/>
      <c r="H45" s="2">
        <v>55.412792699724513</v>
      </c>
      <c r="I45" s="2">
        <v>1409.443181818182</v>
      </c>
      <c r="J45" s="3">
        <v>8</v>
      </c>
      <c r="K45" s="17"/>
      <c r="M45" s="3">
        <v>65.619047619047606</v>
      </c>
      <c r="N45" s="3">
        <v>1038.0557408289601</v>
      </c>
      <c r="O45" s="3">
        <v>8</v>
      </c>
      <c r="P45" s="16">
        <f>M45 / $M$44 * ( 1 + LN( ($N$44 * $O$44) / (N45 * O45) ) )</f>
        <v>1.2893830981712469</v>
      </c>
      <c r="R45" s="18">
        <v>75</v>
      </c>
      <c r="S45" s="3">
        <v>451.65</v>
      </c>
      <c r="T45" s="3">
        <v>8</v>
      </c>
      <c r="U45" s="3">
        <f>R45 / $R$44 * ( 1 + LN( ($S$44 * $T$44) / (S45 * T45) ) )</f>
        <v>1.1347799044211671</v>
      </c>
    </row>
    <row r="46" spans="1:22" ht="13.5" customHeight="1" x14ac:dyDescent="0.35">
      <c r="A46" s="26"/>
      <c r="B46" s="13" t="s">
        <v>34</v>
      </c>
      <c r="C46" s="11">
        <v>34.837092730000002</v>
      </c>
      <c r="D46" s="11">
        <v>567.19000000000005</v>
      </c>
      <c r="E46" s="11">
        <v>7</v>
      </c>
      <c r="M46">
        <v>37.333333330000002</v>
      </c>
      <c r="N46">
        <v>673.42115290000004</v>
      </c>
      <c r="O46">
        <v>7</v>
      </c>
      <c r="R46" s="11">
        <v>63.4</v>
      </c>
      <c r="S46" s="11">
        <v>231.47</v>
      </c>
      <c r="T46" s="11">
        <v>7</v>
      </c>
      <c r="U46" s="11"/>
    </row>
    <row r="47" spans="1:22" ht="12.75" customHeight="1" x14ac:dyDescent="0.35">
      <c r="A47" s="26"/>
      <c r="B47" s="11" t="s">
        <v>46</v>
      </c>
      <c r="C47" s="11">
        <v>82.162162159999994</v>
      </c>
      <c r="D47" s="11">
        <v>375.68</v>
      </c>
      <c r="E47" s="11">
        <v>8</v>
      </c>
      <c r="M47">
        <v>45.047619050000002</v>
      </c>
      <c r="N47">
        <v>896.66570609999997</v>
      </c>
      <c r="O47">
        <v>8</v>
      </c>
      <c r="R47" s="11">
        <v>75.2</v>
      </c>
      <c r="S47" s="11">
        <v>545.79999999999995</v>
      </c>
      <c r="T47" s="11">
        <v>8</v>
      </c>
      <c r="U47" s="11"/>
    </row>
    <row r="48" spans="1:22" ht="12.75" customHeight="1" x14ac:dyDescent="0.35">
      <c r="A48" s="11"/>
      <c r="B48" s="11"/>
      <c r="C48" s="11"/>
      <c r="D48" s="11"/>
      <c r="E48" s="11"/>
      <c r="R48" s="11"/>
      <c r="S48" s="11"/>
      <c r="T48" s="11"/>
      <c r="U48" s="11"/>
    </row>
    <row r="49" spans="1:21" ht="12.75" customHeight="1" x14ac:dyDescent="0.35">
      <c r="A49" s="11"/>
      <c r="B49" s="11"/>
      <c r="C49" s="11"/>
      <c r="D49" s="11"/>
      <c r="E49" s="11"/>
      <c r="R49" s="11"/>
      <c r="S49" s="11"/>
      <c r="T49" s="11"/>
      <c r="U49" s="11"/>
    </row>
    <row r="50" spans="1:21" ht="12.75" customHeight="1" x14ac:dyDescent="0.35">
      <c r="A50" s="11"/>
      <c r="B50" s="11"/>
      <c r="C50" s="11"/>
      <c r="D50" s="11"/>
      <c r="E50" s="11"/>
      <c r="R50" s="11"/>
      <c r="S50" s="11"/>
      <c r="T50" s="11"/>
      <c r="U50" s="11"/>
    </row>
    <row r="51" spans="1:21" ht="12.75" customHeight="1" x14ac:dyDescent="0.35">
      <c r="A51" s="11"/>
      <c r="B51" s="11"/>
      <c r="C51" s="11"/>
      <c r="D51" s="11"/>
      <c r="E51" s="11"/>
      <c r="R51" s="11"/>
      <c r="S51" s="11"/>
      <c r="T51" s="11"/>
      <c r="U51" s="11"/>
    </row>
    <row r="52" spans="1:21" ht="12.75" customHeight="1" x14ac:dyDescent="0.35">
      <c r="A52" s="11"/>
      <c r="B52" s="11"/>
      <c r="C52" s="11"/>
      <c r="D52" s="11"/>
      <c r="E52" s="11"/>
      <c r="R52" s="11"/>
      <c r="S52" s="11"/>
      <c r="T52" s="11"/>
      <c r="U52" s="11"/>
    </row>
    <row r="53" spans="1:21" ht="12.75" customHeight="1" x14ac:dyDescent="0.35">
      <c r="A53" s="11"/>
      <c r="B53" s="11"/>
      <c r="C53" s="11"/>
      <c r="D53" s="11"/>
      <c r="E53" s="11"/>
      <c r="R53" s="11"/>
      <c r="S53" s="11"/>
      <c r="T53" s="11"/>
      <c r="U53" s="11"/>
    </row>
    <row r="54" spans="1:21" ht="12.75" customHeight="1" x14ac:dyDescent="0.35">
      <c r="A54" s="11"/>
      <c r="B54" s="11"/>
      <c r="C54" s="11"/>
      <c r="D54" s="11"/>
      <c r="E54" s="11"/>
      <c r="R54" s="11"/>
      <c r="S54" s="11"/>
      <c r="T54" s="11"/>
      <c r="U54" s="11"/>
    </row>
    <row r="55" spans="1:21" ht="12.75" customHeight="1" x14ac:dyDescent="0.35">
      <c r="A55" s="11"/>
      <c r="B55" s="11"/>
      <c r="C55" s="11"/>
      <c r="D55" s="11"/>
      <c r="E55" s="11"/>
    </row>
    <row r="56" spans="1:21" ht="12.75" customHeight="1" x14ac:dyDescent="0.35">
      <c r="A56" s="11"/>
      <c r="B56" s="11"/>
      <c r="C56" s="11"/>
      <c r="D56" s="11"/>
      <c r="E56" s="11"/>
    </row>
    <row r="57" spans="1:21" ht="12.75" customHeight="1" x14ac:dyDescent="0.35">
      <c r="A57" s="11"/>
      <c r="B57" s="11"/>
      <c r="C57" s="11"/>
      <c r="D57" s="11"/>
      <c r="E57" s="11"/>
    </row>
    <row r="58" spans="1:21" ht="12.75" customHeight="1" x14ac:dyDescent="0.35">
      <c r="A58" s="11"/>
      <c r="B58" s="11"/>
      <c r="C58" s="11"/>
      <c r="D58" s="11"/>
      <c r="E58" s="11"/>
    </row>
    <row r="59" spans="1:21" ht="12.75" customHeight="1" x14ac:dyDescent="0.35">
      <c r="A59" s="11"/>
      <c r="B59" s="11"/>
      <c r="C59" s="11"/>
      <c r="D59" s="11"/>
      <c r="E59" s="11"/>
    </row>
    <row r="60" spans="1:21" ht="12.75" customHeight="1" x14ac:dyDescent="0.35">
      <c r="A60" s="11"/>
      <c r="B60" s="11"/>
      <c r="C60" s="11"/>
      <c r="D60" s="11"/>
      <c r="E60" s="11"/>
    </row>
    <row r="61" spans="1:21" ht="12.75" customHeight="1" x14ac:dyDescent="0.35">
      <c r="A61" s="11"/>
      <c r="B61" s="11"/>
      <c r="C61" s="11"/>
      <c r="D61" s="11"/>
      <c r="E61" s="11"/>
    </row>
    <row r="62" spans="1:21" ht="12.75" customHeight="1" x14ac:dyDescent="0.35">
      <c r="A62" s="11"/>
      <c r="B62" s="11"/>
      <c r="C62" s="11"/>
      <c r="D62" s="11"/>
      <c r="E62" s="11"/>
    </row>
    <row r="63" spans="1:21" ht="12.75" customHeight="1" x14ac:dyDescent="0.35">
      <c r="A63" s="11"/>
      <c r="B63" s="11"/>
      <c r="C63" s="11"/>
      <c r="D63" s="11"/>
      <c r="E63" s="11"/>
    </row>
    <row r="64" spans="1:21" ht="12.75" customHeight="1" x14ac:dyDescent="0.35">
      <c r="A64" s="11"/>
      <c r="B64" s="11"/>
      <c r="C64" s="11"/>
      <c r="D64" s="11"/>
      <c r="E64" s="11"/>
    </row>
    <row r="65" spans="1:5" ht="12.75" customHeight="1" x14ac:dyDescent="0.35">
      <c r="A65" s="11"/>
      <c r="B65" s="11"/>
      <c r="C65" s="11"/>
      <c r="D65" s="11"/>
      <c r="E65" s="11"/>
    </row>
    <row r="66" spans="1:5" ht="12.75" customHeight="1" x14ac:dyDescent="0.35">
      <c r="A66" s="11"/>
      <c r="B66" s="11"/>
      <c r="C66" s="11"/>
      <c r="D66" s="11"/>
      <c r="E66" s="11"/>
    </row>
    <row r="67" spans="1:5" ht="12.75" customHeight="1" x14ac:dyDescent="0.35">
      <c r="A67" s="11"/>
      <c r="B67" s="11"/>
      <c r="C67" s="11"/>
      <c r="D67" s="11"/>
      <c r="E67" s="11"/>
    </row>
    <row r="68" spans="1:5" ht="12.75" customHeight="1" x14ac:dyDescent="0.35">
      <c r="A68" s="11"/>
      <c r="B68" s="11"/>
      <c r="C68" s="11"/>
      <c r="D68" s="11"/>
      <c r="E68" s="11"/>
    </row>
    <row r="69" spans="1:5" ht="12.75" customHeight="1" x14ac:dyDescent="0.35">
      <c r="A69" s="11"/>
      <c r="B69" s="11"/>
      <c r="C69" s="11"/>
      <c r="D69" s="11"/>
      <c r="E69" s="11"/>
    </row>
    <row r="70" spans="1:5" ht="12.75" customHeight="1" x14ac:dyDescent="0.35">
      <c r="A70" s="11"/>
      <c r="B70" s="11"/>
      <c r="C70" s="11"/>
      <c r="D70" s="11"/>
      <c r="E70" s="11"/>
    </row>
    <row r="71" spans="1:5" ht="12.75" customHeight="1" x14ac:dyDescent="0.35">
      <c r="A71" s="11"/>
      <c r="B71" s="11"/>
      <c r="C71" s="11"/>
      <c r="D71" s="11"/>
      <c r="E71" s="11"/>
    </row>
    <row r="72" spans="1:5" ht="12.75" customHeight="1" x14ac:dyDescent="0.35">
      <c r="A72" s="11"/>
      <c r="B72" s="11"/>
      <c r="C72" s="11"/>
      <c r="D72" s="11"/>
      <c r="E72" s="11"/>
    </row>
    <row r="73" spans="1:5" ht="12.75" customHeight="1" x14ac:dyDescent="0.35">
      <c r="A73" s="11"/>
      <c r="B73" s="11"/>
      <c r="C73" s="11"/>
      <c r="D73" s="11"/>
      <c r="E73" s="11"/>
    </row>
  </sheetData>
  <mergeCells count="16">
    <mergeCell ref="A44:A47"/>
    <mergeCell ref="A41:A42"/>
    <mergeCell ref="C2:F2"/>
    <mergeCell ref="R2:U2"/>
    <mergeCell ref="R1:U1"/>
    <mergeCell ref="B1:B3"/>
    <mergeCell ref="M1:P1"/>
    <mergeCell ref="H2:K2"/>
    <mergeCell ref="A16:A21"/>
    <mergeCell ref="A35:A36"/>
    <mergeCell ref="A1:A3"/>
    <mergeCell ref="C1:K1"/>
    <mergeCell ref="A38:A39"/>
    <mergeCell ref="A26:A33"/>
    <mergeCell ref="A4:A14"/>
    <mergeCell ref="A23:A24"/>
  </mergeCells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no</cp:lastModifiedBy>
  <dcterms:created xsi:type="dcterms:W3CDTF">2026-02-10T14:57:39Z</dcterms:created>
  <dcterms:modified xsi:type="dcterms:W3CDTF">2026-03-22T08:58:30Z</dcterms:modified>
</cp:coreProperties>
</file>